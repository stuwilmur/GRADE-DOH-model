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\\uol.le.ac.uk\root\staff\home\s\sh222\My Documents\bernadet O'Hare\neo natal mortality\"/>
    </mc:Choice>
  </mc:AlternateContent>
  <xr:revisionPtr revIDLastSave="0" documentId="8_{7FEB247A-E7B3-4016-9F92-F936ADBF9DDF}" xr6:coauthVersionLast="47" xr6:coauthVersionMax="47" xr10:uidLastSave="{00000000-0000-0000-0000-000000000000}"/>
  <bookViews>
    <workbookView xWindow="28680" yWindow="-120" windowWidth="29040" windowHeight="15840" xr2:uid="{9565C87D-7394-4322-BA1D-BF52FDB66D61}"/>
  </bookViews>
  <sheets>
    <sheet name="check afg10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3" l="1"/>
  <c r="F3" i="3"/>
  <c r="N3" i="3" s="1"/>
  <c r="F4" i="3"/>
  <c r="F2" i="3"/>
  <c r="Z4" i="3"/>
  <c r="Y4" i="3"/>
  <c r="X4" i="3"/>
  <c r="W4" i="3"/>
  <c r="V4" i="3"/>
  <c r="U4" i="3"/>
  <c r="T4" i="3"/>
  <c r="N4" i="3"/>
  <c r="T2" i="3"/>
  <c r="N2" i="3"/>
  <c r="O3" i="3" l="1"/>
  <c r="P3" i="3" s="1"/>
  <c r="AB3" i="3"/>
  <c r="O4" i="3"/>
  <c r="P4" i="3" s="1"/>
  <c r="AB4" i="3"/>
  <c r="O2" i="3"/>
  <c r="P2" i="3" s="1"/>
  <c r="AB2" i="3"/>
  <c r="AE2" i="3" s="1"/>
  <c r="AE3" i="3" l="1"/>
  <c r="AF3" i="3" s="1"/>
  <c r="AC3" i="3"/>
  <c r="AE4" i="3"/>
  <c r="AF4" i="3" s="1"/>
  <c r="AC4" i="3"/>
  <c r="AF2" i="3"/>
  <c r="AC2" i="3"/>
</calcChain>
</file>

<file path=xl/sharedStrings.xml><?xml version="1.0" encoding="utf-8"?>
<sst xmlns="http://schemas.openxmlformats.org/spreadsheetml/2006/main" count="29" uniqueCount="20">
  <si>
    <t>MORTALITY</t>
  </si>
  <si>
    <t>SURVIVAL</t>
  </si>
  <si>
    <t>SUVIVALM900</t>
  </si>
  <si>
    <t>GRPC</t>
  </si>
  <si>
    <t>LGRPC</t>
  </si>
  <si>
    <t>CORRUPTION</t>
  </si>
  <si>
    <t>POL</t>
  </si>
  <si>
    <t>REG</t>
  </si>
  <si>
    <t>RULE</t>
  </si>
  <si>
    <t>GOVEFFECT</t>
  </si>
  <si>
    <t>VOICE</t>
  </si>
  <si>
    <t>forecast</t>
  </si>
  <si>
    <t>residual</t>
  </si>
  <si>
    <t>check</t>
  </si>
  <si>
    <t>simulation</t>
  </si>
  <si>
    <t>newsuvm</t>
  </si>
  <si>
    <t>change</t>
  </si>
  <si>
    <t>survival</t>
  </si>
  <si>
    <t>mortality</t>
  </si>
  <si>
    <t xml:space="preserve">AFG - 10 -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</si>
</sst>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E5BD-22EA-4A56-916D-7E62649E3744}">
  <dimension ref="A1:AF4"/>
  <sheetViews>
    <sheetView tabSelected="1" topLeftCell="J1" workbookViewId="0">
      <selection activeCell="S4" sqref="S4"/>
    </sheetView>
  </sheetViews>
  <sheetFormatPr defaultRowHeight="15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  <c r="P1" t="s">
        <v>13</v>
      </c>
      <c r="R1" t="s">
        <v>14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B1" t="s">
        <v>15</v>
      </c>
      <c r="AC1" t="s">
        <v>16</v>
      </c>
      <c r="AE1" t="s">
        <v>17</v>
      </c>
      <c r="AF1" t="s">
        <v>18</v>
      </c>
    </row>
    <row r="2" spans="1:32">
      <c r="A2" t="s">
        <v>19</v>
      </c>
      <c r="B2">
        <v>48</v>
      </c>
      <c r="C2">
        <v>952</v>
      </c>
      <c r="D2">
        <v>52</v>
      </c>
      <c r="E2">
        <v>61.230559970000002</v>
      </c>
      <c r="F2">
        <f>LN(E2)</f>
        <v>4.1146464108016296</v>
      </c>
      <c r="G2">
        <v>-1.645391107</v>
      </c>
      <c r="H2">
        <v>-2.5791518689999999</v>
      </c>
      <c r="I2">
        <v>-1.5165282490000001</v>
      </c>
      <c r="J2">
        <v>-1.8700580600000001</v>
      </c>
      <c r="K2">
        <v>-1.478315592</v>
      </c>
      <c r="L2">
        <v>-1.404467344</v>
      </c>
      <c r="N2">
        <f t="shared" ref="N2" si="0">IF(D2&gt;0,100/(1+EXP(-(0.442132742509+0.0273863639337*G2-0.0140227554807*H2+0.0368588954695*I2 -0.0362363522733*J2+0.0518882434461*K2 +0.081985674477*L2)*(F2-2.6023934309-0.555729113849*G2 +0.45918682053*H2-0.867300043806*L2))),_xleta.NA)</f>
        <v>65.092475046956963</v>
      </c>
      <c r="O2">
        <f t="shared" ref="O2" si="1">D2-N2</f>
        <v>-13.092475046956963</v>
      </c>
      <c r="P2">
        <f t="shared" ref="P2" si="2">D2-N2-O2</f>
        <v>0</v>
      </c>
      <c r="S2">
        <v>70</v>
      </c>
      <c r="T2">
        <f>LN(S2)</f>
        <v>4.2484952420493594</v>
      </c>
      <c r="U2">
        <v>-1.645391107</v>
      </c>
      <c r="V2">
        <v>-2.5791518689999999</v>
      </c>
      <c r="W2">
        <v>-1.5165282490000001</v>
      </c>
      <c r="X2">
        <v>-1.8700580600000001</v>
      </c>
      <c r="Y2">
        <v>-1.478315592</v>
      </c>
      <c r="Z2">
        <v>-1.404467344</v>
      </c>
      <c r="AB2">
        <f t="shared" ref="AB2" si="3">IF(D2&gt;0,100/(1+EXP(-(0.442132742509+0.0273863639337*U2-0.0140227554807*V2+0.0368588954695*W2 -0.0362363522733*X2+0.0518882434461*Y2 +0.081985674477*Z2)*(T2-2.6023934309-0.555729113849*U2 +0.45918682053*V2-0.867300043806*Z2)))+O2,_xleta.NA)</f>
        <v>52.766229287786416</v>
      </c>
      <c r="AC2">
        <f t="shared" ref="AC2" si="4">AB2-D2</f>
        <v>0.76622928778641608</v>
      </c>
      <c r="AE2">
        <f>AB2+900</f>
        <v>952.76622928778647</v>
      </c>
      <c r="AF2">
        <f t="shared" ref="AF2" si="5">1000-AE2</f>
        <v>47.233770712213527</v>
      </c>
    </row>
    <row r="3" spans="1:32">
      <c r="A3" t="s">
        <v>19</v>
      </c>
      <c r="B3">
        <v>48</v>
      </c>
      <c r="C3">
        <v>952</v>
      </c>
      <c r="D3">
        <v>52</v>
      </c>
      <c r="E3">
        <v>61.230559970000002</v>
      </c>
      <c r="F3">
        <f>LN(E3)</f>
        <v>4.1146464108016296</v>
      </c>
      <c r="G3">
        <v>-1.645391107</v>
      </c>
      <c r="H3">
        <v>-2.5791518689999999</v>
      </c>
      <c r="I3">
        <v>-1.5165282490000001</v>
      </c>
      <c r="J3">
        <v>-1.8700580600000001</v>
      </c>
      <c r="K3">
        <v>-1.478315592</v>
      </c>
      <c r="L3">
        <v>-1.404467344</v>
      </c>
      <c r="N3">
        <f t="shared" ref="N3" si="6">IF(D3&gt;0,100/(1+EXP(-(0.442132742509+0.0273863639337*G3-0.0140227554807*H3+0.0368588954695*I3 -0.0362363522733*J3+0.0518882434461*K3 +0.081985674477*L3)*(F3-2.6023934309-0.555729113849*G3 +0.45918682053*H3-0.867300043806*L3))),_xleta.NA)</f>
        <v>65.092475046956963</v>
      </c>
      <c r="O3">
        <f t="shared" ref="O3" si="7">D3-N3</f>
        <v>-13.092475046956963</v>
      </c>
      <c r="P3">
        <f t="shared" ref="P3" si="8">D3-N3-O3</f>
        <v>0</v>
      </c>
      <c r="S3">
        <v>50</v>
      </c>
      <c r="T3">
        <f>LN(S3)</f>
        <v>3.912023005428146</v>
      </c>
      <c r="U3">
        <v>-1.645391107</v>
      </c>
      <c r="V3">
        <v>-2.5791518689999999</v>
      </c>
      <c r="W3">
        <v>-1.5165282490000001</v>
      </c>
      <c r="X3">
        <v>-1.8700580600000001</v>
      </c>
      <c r="Y3">
        <v>-1.478315592</v>
      </c>
      <c r="Z3">
        <v>-1.404467344</v>
      </c>
      <c r="AB3">
        <f t="shared" ref="AB3" si="9">IF(D3&gt;0,100/(1+EXP(-(0.442132742509+0.0273863639337*U3-0.0140227554807*V3+0.0368588954695*W3 -0.0362363522733*X3+0.0518882434461*Y3 +0.081985674477*Z3)*(T3-2.6023934309-0.555729113849*U3 +0.45918682053*V3-0.867300043806*Z3)))+O3,_xleta.NA)</f>
        <v>50.825178630167997</v>
      </c>
      <c r="AC3">
        <f t="shared" ref="AC3" si="10">AB3-D3</f>
        <v>-1.1748213698320029</v>
      </c>
      <c r="AE3">
        <f>AB3+900</f>
        <v>950.82517863016801</v>
      </c>
      <c r="AF3">
        <f t="shared" ref="AF3" si="11">1000-AE3</f>
        <v>49.174821369831989</v>
      </c>
    </row>
    <row r="4" spans="1:32">
      <c r="A4" t="s">
        <v>19</v>
      </c>
      <c r="B4">
        <v>48</v>
      </c>
      <c r="C4">
        <v>952</v>
      </c>
      <c r="D4">
        <v>52</v>
      </c>
      <c r="E4">
        <v>61.230559970000002</v>
      </c>
      <c r="F4">
        <f>LN(E4)</f>
        <v>4.1146464108016296</v>
      </c>
      <c r="G4">
        <v>-1.645391107</v>
      </c>
      <c r="H4">
        <v>-2.5791518689999999</v>
      </c>
      <c r="I4">
        <v>-1.5165282490000001</v>
      </c>
      <c r="J4">
        <v>-1.8700580600000001</v>
      </c>
      <c r="K4">
        <v>-1.478315592</v>
      </c>
      <c r="L4">
        <v>-1.404467344</v>
      </c>
      <c r="N4">
        <f t="shared" ref="N4" si="12">IF(D4&gt;0,100/(1+EXP(-(0.442132742509+0.0273863639337*G4-0.0140227554807*H4+0.0368588954695*I4 -0.0362363522733*J4+0.0518882434461*K4 +0.081985674477*L4)*(F4-2.6023934309-0.555729113849*G4 +0.45918682053*H4-0.867300043806*L4))),_xleta.NA)</f>
        <v>65.092475046956963</v>
      </c>
      <c r="O4">
        <f t="shared" ref="O4" si="13">D4-N4</f>
        <v>-13.092475046956963</v>
      </c>
      <c r="P4">
        <f t="shared" ref="P4" si="14">D4-N4-O4</f>
        <v>0</v>
      </c>
      <c r="S4">
        <v>61.230559970000002</v>
      </c>
      <c r="T4">
        <f>LN(S4)</f>
        <v>4.1146464108016296</v>
      </c>
      <c r="U4">
        <f>U2+0.1</f>
        <v>-1.5453911069999999</v>
      </c>
      <c r="V4">
        <f t="shared" ref="V4:Z4" si="15">V2+0.1</f>
        <v>-2.4791518689999998</v>
      </c>
      <c r="W4">
        <f t="shared" si="15"/>
        <v>-1.416528249</v>
      </c>
      <c r="X4">
        <f t="shared" si="15"/>
        <v>-1.77005806</v>
      </c>
      <c r="Y4">
        <f t="shared" si="15"/>
        <v>-1.3783155919999999</v>
      </c>
      <c r="Z4">
        <f t="shared" si="15"/>
        <v>-1.3044673439999999</v>
      </c>
      <c r="AB4">
        <f t="shared" ref="AB4" si="16">IF(D4&gt;0,100/(1+EXP(-(0.442132742509+0.0273863639337*U4-0.0140227554807*V4+0.0368588954695*W4 -0.0362363522733*X4+0.0518882434461*Y4 +0.081985674477*Z4)*(T4-2.6023934309-0.555729113849*U4 +0.45918682053*V4-0.867300043806*Z4)))+O4,_xleta.NA)</f>
        <v>52.239229313789409</v>
      </c>
      <c r="AC4">
        <f t="shared" ref="AC4" si="17">AB4-D4</f>
        <v>0.23922931378940859</v>
      </c>
      <c r="AE4">
        <f>AB4+900</f>
        <v>952.23922931378945</v>
      </c>
      <c r="AF4">
        <f t="shared" ref="AF4" si="18">1000-AE4</f>
        <v>47.760770686210549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Leicester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Hall, Stephen (Prof.)</dc:creator>
  <cp:keywords/>
  <dc:description/>
  <cp:lastModifiedBy/>
  <cp:revision/>
  <dcterms:created xsi:type="dcterms:W3CDTF">2026-09-09T08:16:21Z</dcterms:created>
  <dcterms:modified xsi:type="dcterms:W3CDTF">2026-10-26T12:44:42Z</dcterms:modified>
  <cp:category/>
  <cp:contentStatus/>
</cp:coreProperties>
</file>