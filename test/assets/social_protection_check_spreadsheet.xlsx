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s\sh222\My Documents\bernadet O'Hare\social benefit\"/>
    </mc:Choice>
  </mc:AlternateContent>
  <xr:revisionPtr revIDLastSave="0" documentId="8_{F66F9727-E45B-4DE4-A21A-534D0CD427A9}" xr6:coauthVersionLast="47" xr6:coauthVersionMax="47" xr10:uidLastSave="{00000000-0000-0000-0000-000000000000}"/>
  <bookViews>
    <workbookView xWindow="35160" yWindow="2910" windowWidth="21585" windowHeight="11385" xr2:uid="{9F99CF8A-86F3-4047-A1D1-D2E734C062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AG5" i="1"/>
  <c r="L5" i="1"/>
  <c r="Y3" i="1"/>
  <c r="V4" i="1"/>
  <c r="U4" i="1"/>
  <c r="T4" i="1"/>
  <c r="S4" i="1"/>
  <c r="R4" i="1"/>
  <c r="Q4" i="1"/>
  <c r="W3" i="1"/>
  <c r="I2" i="1"/>
  <c r="L2" i="1"/>
  <c r="AG4" i="1"/>
  <c r="AG3" i="1"/>
  <c r="AG2" i="1"/>
  <c r="M2" i="1"/>
  <c r="L4" i="1"/>
  <c r="L3" i="1"/>
  <c r="M5" i="1" l="1"/>
  <c r="N5" i="1" s="1"/>
  <c r="Y5" i="1"/>
  <c r="AA5" i="1" s="1"/>
  <c r="M3" i="1"/>
  <c r="M4" i="1"/>
  <c r="N2" i="1"/>
  <c r="Y2" i="1"/>
  <c r="AA2" i="1" s="1"/>
  <c r="Y4" i="1" l="1"/>
  <c r="AA4" i="1" s="1"/>
  <c r="N4" i="1"/>
  <c r="AA3" i="1"/>
  <c r="N3" i="1"/>
</calcChain>
</file>

<file path=xl/sharedStrings.xml><?xml version="1.0" encoding="utf-8"?>
<sst xmlns="http://schemas.openxmlformats.org/spreadsheetml/2006/main" count="34" uniqueCount="21">
  <si>
    <t>SOCBEN</t>
  </si>
  <si>
    <t>CORRUPTION</t>
  </si>
  <si>
    <t>POL</t>
  </si>
  <si>
    <t>REG</t>
  </si>
  <si>
    <t>RULE</t>
  </si>
  <si>
    <t>EFFECT</t>
  </si>
  <si>
    <t>VOICE</t>
  </si>
  <si>
    <t>LGR</t>
  </si>
  <si>
    <t>forecast</t>
  </si>
  <si>
    <t>residual</t>
  </si>
  <si>
    <t>check=0</t>
  </si>
  <si>
    <t>simulation</t>
  </si>
  <si>
    <t>new socben</t>
  </si>
  <si>
    <t>change from base</t>
  </si>
  <si>
    <t>extending the</t>
  </si>
  <si>
    <t>combined</t>
  </si>
  <si>
    <t xml:space="preserve">AFG - 10 - </t>
  </si>
  <si>
    <t>enter or</t>
  </si>
  <si>
    <t>social benefit data</t>
  </si>
  <si>
    <t>change data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</si>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</sst>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8855-2842-4D61-82AF-F82C114036D6}">
  <dimension ref="A1:AG11219"/>
  <sheetViews>
    <sheetView tabSelected="1" topLeftCell="R1" workbookViewId="0">
      <selection activeCell="W6" sqref="W6"/>
    </sheetView>
  </sheetViews>
  <sheetFormatPr defaultRowHeight="15"/>
  <cols>
    <col min="1" max="1" width="9.85546875" bestFit="1" customWidth="1"/>
  </cols>
  <sheetData>
    <row r="1" spans="1:3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L1" t="s">
        <v>8</v>
      </c>
      <c r="M1" t="s">
        <v>9</v>
      </c>
      <c r="N1" t="s">
        <v>10</v>
      </c>
      <c r="O1" t="s">
        <v>11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Y1" t="s">
        <v>12</v>
      </c>
      <c r="AA1" t="s">
        <v>13</v>
      </c>
      <c r="AC1" t="s">
        <v>14</v>
      </c>
      <c r="AE1" t="s">
        <v>8</v>
      </c>
      <c r="AF1" t="s">
        <v>0</v>
      </c>
      <c r="AG1" t="s">
        <v>15</v>
      </c>
    </row>
    <row r="2" spans="1:33">
      <c r="A2" t="s">
        <v>16</v>
      </c>
      <c r="B2">
        <v>10</v>
      </c>
      <c r="C2">
        <v>-1.635723</v>
      </c>
      <c r="D2">
        <v>-2.5791520000000001</v>
      </c>
      <c r="E2">
        <v>-1.532861</v>
      </c>
      <c r="F2">
        <v>-1.8454360000000001</v>
      </c>
      <c r="G2">
        <v>-1.4546829999999999</v>
      </c>
      <c r="H2">
        <v>-1.404468</v>
      </c>
      <c r="I2">
        <f>LN(60.2629)</f>
        <v>4.0987166573367597</v>
      </c>
      <c r="L2">
        <f>100/(1+EXP(-(0.611213344183 +0.164361481365*H2)*(I2 -(7.71444244182+0.799760860664*C2 +0.440779040162*D2-0.586592663312*E2-0.729156273136*G2 -0.841025766472*H2 ))))</f>
        <v>16.245502202728936</v>
      </c>
      <c r="M2">
        <f>B2-L2</f>
        <v>-6.245502202728936</v>
      </c>
      <c r="N2">
        <f>B2-L2-M2</f>
        <v>0</v>
      </c>
      <c r="O2" t="s">
        <v>17</v>
      </c>
      <c r="Q2">
        <v>-1.635723</v>
      </c>
      <c r="R2">
        <v>-2.5791520000000001</v>
      </c>
      <c r="S2">
        <v>-1.532861</v>
      </c>
      <c r="T2">
        <v>-1.8454360000000001</v>
      </c>
      <c r="U2">
        <v>-1.4546829999999999</v>
      </c>
      <c r="V2">
        <v>-1.404468</v>
      </c>
      <c r="W2">
        <v>4.0987166573367597</v>
      </c>
      <c r="Y2">
        <f>100/(1+EXP(-(0.611213344183 +0.164361481365*V2)*(W2 -(7.71444244182+0.799760860664*Q2 +0.440779040162*R2-0.586592663312*S2-0.729156273136*U2 -0.841025766472*V2 ))))+M2</f>
        <v>10</v>
      </c>
      <c r="AA2">
        <f>Y2-B2</f>
        <v>0</v>
      </c>
      <c r="AC2" t="s">
        <v>18</v>
      </c>
      <c r="AE2">
        <v>0.88788022127412514</v>
      </c>
      <c r="AG2">
        <f>IF(ISBLANK(AF2),AE2,AF2)</f>
        <v>0.88788022127412514</v>
      </c>
    </row>
    <row r="3" spans="1:33">
      <c r="A3" t="s">
        <v>16</v>
      </c>
      <c r="B3">
        <v>10</v>
      </c>
      <c r="C3">
        <v>-1.635723</v>
      </c>
      <c r="D3">
        <v>-2.5791520000000001</v>
      </c>
      <c r="E3">
        <v>-1.532861</v>
      </c>
      <c r="F3">
        <v>-1.8454360000000001</v>
      </c>
      <c r="G3">
        <v>-1.4546829999999999</v>
      </c>
      <c r="H3">
        <v>-1.404468</v>
      </c>
      <c r="I3">
        <v>4.0987166573367597</v>
      </c>
      <c r="L3">
        <f t="shared" ref="L3:L66" si="0">100/(1+EXP(-(0.611213344183 +0.164361481365*H3)*(I3 -(7.71444244182+0.799760860664*C3 +0.440779040162*D3-0.586592663312*E3-0.729156273136*G3 -0.841025766472*H3 ))))</f>
        <v>16.245502202728936</v>
      </c>
      <c r="M3">
        <f t="shared" ref="M3:M66" si="1">B3-L3</f>
        <v>-6.245502202728936</v>
      </c>
      <c r="N3">
        <f t="shared" ref="N3:N66" si="2">B3-L3-M3</f>
        <v>0</v>
      </c>
      <c r="O3" t="s">
        <v>19</v>
      </c>
      <c r="Q3">
        <v>-1.635723</v>
      </c>
      <c r="R3">
        <v>-2.5791520000000001</v>
      </c>
      <c r="S3">
        <v>-1.532861</v>
      </c>
      <c r="T3">
        <v>-1.8454360000000001</v>
      </c>
      <c r="U3">
        <v>-1.4546829999999999</v>
      </c>
      <c r="V3">
        <v>-1.404468</v>
      </c>
      <c r="W3">
        <f>LN(300)</f>
        <v>5.7037824746562009</v>
      </c>
      <c r="Y3">
        <f>100/(1+EXP(-(0.611213344183 +0.164361481365*V3)*(W3 -(7.71444244182+0.799760860664*Q3 +0.440779040162*R3-0.586592663312*S3-0.729156273136*U3 -0.841025766472*V3 ))))+M3</f>
        <v>20.071628549793051</v>
      </c>
      <c r="AA3">
        <f t="shared" ref="AA3:AA66" si="3">Y3-B3</f>
        <v>10.071628549793051</v>
      </c>
      <c r="AE3">
        <v>0.88788022127412514</v>
      </c>
      <c r="AG3">
        <f t="shared" ref="AG3:AG66" si="4">IF(ISBLANK(AF3),AE3,AF3)</f>
        <v>0.88788022127412514</v>
      </c>
    </row>
    <row r="4" spans="1:33">
      <c r="A4" t="s">
        <v>16</v>
      </c>
      <c r="B4">
        <v>10</v>
      </c>
      <c r="C4">
        <v>-1.635723</v>
      </c>
      <c r="D4">
        <v>-2.5791520000000001</v>
      </c>
      <c r="E4">
        <v>-1.532861</v>
      </c>
      <c r="F4">
        <v>-1.8454360000000001</v>
      </c>
      <c r="G4">
        <v>-1.4546829999999999</v>
      </c>
      <c r="H4">
        <v>-1.404468</v>
      </c>
      <c r="I4">
        <v>4.0987166573367597</v>
      </c>
      <c r="L4">
        <f t="shared" si="0"/>
        <v>16.245502202728936</v>
      </c>
      <c r="M4">
        <f t="shared" si="1"/>
        <v>-6.245502202728936</v>
      </c>
      <c r="N4">
        <f t="shared" si="2"/>
        <v>0</v>
      </c>
      <c r="O4" t="s">
        <v>20</v>
      </c>
      <c r="Q4">
        <f>C4+0.1</f>
        <v>-1.5357229999999999</v>
      </c>
      <c r="R4">
        <f t="shared" ref="R4:V4" si="5">D4+0.1</f>
        <v>-2.479152</v>
      </c>
      <c r="S4">
        <f t="shared" si="5"/>
        <v>-1.4328609999999999</v>
      </c>
      <c r="T4">
        <f t="shared" si="5"/>
        <v>-1.745436</v>
      </c>
      <c r="U4">
        <f t="shared" si="5"/>
        <v>-1.3546829999999999</v>
      </c>
      <c r="V4">
        <f t="shared" si="5"/>
        <v>-1.304468</v>
      </c>
      <c r="W4">
        <v>4.0987166573367597</v>
      </c>
      <c r="Y4">
        <f t="shared" ref="Y3:Y66" si="6">100/(1+EXP(-(0.611213344183 +0.164361481365*V4)*(W4 -(7.71444244182+0.799760860664*Q4 +0.440779040162*R4-0.586592663312*S4-0.729156273136*U4 -0.841025766472*V4 ))))+M4</f>
        <v>9.5358765482654686</v>
      </c>
      <c r="AA4">
        <f t="shared" si="3"/>
        <v>-0.4641234517345314</v>
      </c>
      <c r="AE4">
        <v>0.88788022127412514</v>
      </c>
      <c r="AG4">
        <f t="shared" si="4"/>
        <v>0.88788022127412514</v>
      </c>
    </row>
    <row r="5" spans="1:33">
      <c r="A5" t="s">
        <v>16</v>
      </c>
      <c r="B5">
        <v>10</v>
      </c>
      <c r="C5">
        <v>-1.635723</v>
      </c>
      <c r="D5">
        <v>-2.5791520000000001</v>
      </c>
      <c r="E5">
        <v>-1.532861</v>
      </c>
      <c r="F5">
        <v>-1.8454360000000001</v>
      </c>
      <c r="G5">
        <v>-1.4546829999999999</v>
      </c>
      <c r="H5">
        <v>-1.404468</v>
      </c>
      <c r="I5">
        <v>4.0987166573367597</v>
      </c>
      <c r="L5">
        <f t="shared" ref="L5" si="7">100/(1+EXP(-(0.611213344183 +0.164361481365*H5)*(I5 -(7.71444244182+0.799760860664*C5 +0.440779040162*D5-0.586592663312*E5-0.729156273136*G5 -0.841025766472*H5 ))))</f>
        <v>16.245502202728936</v>
      </c>
      <c r="M5">
        <f t="shared" ref="M5" si="8">B5-L5</f>
        <v>-6.245502202728936</v>
      </c>
      <c r="N5">
        <f t="shared" ref="N5" si="9">B5-L5-M5</f>
        <v>0</v>
      </c>
      <c r="O5" t="s">
        <v>19</v>
      </c>
      <c r="Q5">
        <v>-1.635723</v>
      </c>
      <c r="R5">
        <v>-2.5791520000000001</v>
      </c>
      <c r="S5">
        <v>-1.532861</v>
      </c>
      <c r="T5">
        <v>-1.8454360000000001</v>
      </c>
      <c r="U5">
        <v>-1.4546829999999999</v>
      </c>
      <c r="V5">
        <v>-1.404468</v>
      </c>
      <c r="W5">
        <f>LN(30)</f>
        <v>3.4011973816621555</v>
      </c>
      <c r="Y5">
        <f>100/(1+EXP(-(0.611213344183 +0.164361481365*V5)*(W5 -(7.71444244182+0.799760860664*Q5 +0.440779040162*R5-0.586592663312*S5-0.729156273136*U5 -0.841025766472*V5 ))))+M5</f>
        <v>6.7044488139566631</v>
      </c>
      <c r="AA5">
        <f t="shared" ref="AA5" si="10">Y5-B5</f>
        <v>-3.2955511860433369</v>
      </c>
      <c r="AE5">
        <v>0.88788022127412514</v>
      </c>
      <c r="AG5">
        <f t="shared" ref="AG5" si="11">IF(ISBLANK(AF5),AE5,AF5)</f>
        <v>0.88788022127412514</v>
      </c>
    </row>
    <row r="11191" spans="7:7">
      <c r="G11191" s="1"/>
    </row>
    <row r="11192" spans="7:7">
      <c r="G11192" s="1"/>
    </row>
    <row r="11193" spans="7:7">
      <c r="G11193" s="1"/>
    </row>
    <row r="11194" spans="7:7">
      <c r="G11194" s="1"/>
    </row>
    <row r="11195" spans="7:7">
      <c r="G11195" s="1"/>
    </row>
    <row r="11196" spans="7:7">
      <c r="G11196" s="1"/>
    </row>
    <row r="11197" spans="7:7">
      <c r="G11197" s="1"/>
    </row>
    <row r="11198" spans="7:7">
      <c r="G11198" s="1"/>
    </row>
    <row r="11199" spans="7:7">
      <c r="G11199" s="1"/>
    </row>
    <row r="11200" spans="7:7">
      <c r="G11200" s="1"/>
    </row>
    <row r="11201" spans="7:7">
      <c r="G11201" s="1"/>
    </row>
    <row r="11202" spans="7:7">
      <c r="G11202" s="1"/>
    </row>
    <row r="11203" spans="7:7">
      <c r="G11203" s="1"/>
    </row>
    <row r="11204" spans="7:7">
      <c r="G11204" s="1"/>
    </row>
    <row r="11205" spans="7:7">
      <c r="G11205" s="1"/>
    </row>
    <row r="11206" spans="7:7">
      <c r="G11206" s="1"/>
    </row>
    <row r="11207" spans="7:7">
      <c r="G11207" s="1"/>
    </row>
    <row r="11208" spans="7:7">
      <c r="G11208" s="1"/>
    </row>
    <row r="11209" spans="7:7">
      <c r="G11209" s="1"/>
    </row>
    <row r="11210" spans="7:7">
      <c r="G11210" s="1"/>
    </row>
    <row r="11211" spans="7:7">
      <c r="G11211" s="1"/>
    </row>
    <row r="11212" spans="7:7">
      <c r="G11212" s="1"/>
    </row>
    <row r="11213" spans="7:7">
      <c r="G11213" s="1"/>
    </row>
    <row r="11214" spans="7:7">
      <c r="G11214" s="1"/>
    </row>
    <row r="11215" spans="7:7">
      <c r="G11215" s="1"/>
    </row>
    <row r="11216" spans="7:7">
      <c r="G11216" s="1"/>
    </row>
    <row r="11217" spans="7:7">
      <c r="G11217" s="1"/>
    </row>
    <row r="11218" spans="7:7">
      <c r="G11218" s="1"/>
    </row>
    <row r="11219" spans="7:7">
      <c r="G112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Hall, Stephen (Prof.)</dc:creator>
  <cp:keywords/>
  <dc:description/>
  <cp:lastModifiedBy/>
  <cp:revision/>
  <dcterms:created xsi:type="dcterms:W3CDTF">2025-11-11T09:12:12Z</dcterms:created>
  <dcterms:modified xsi:type="dcterms:W3CDTF">2026-01-11T09:03:17Z</dcterms:modified>
  <cp:category/>
  <cp:contentStatus/>
</cp:coreProperties>
</file>